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<sst xmlns="http://schemas.openxmlformats.org/spreadsheetml/2006/main" count="21" uniqueCount="21">
  <si>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Parts</t>
  </si>
  <si>
    <t>Price (in INR)</t>
  </si>
  <si>
    <t>Quantity</t>
  </si>
  <si>
    <t>Total price (in INR)</t>
  </si>
  <si>
    <t>200 RPM BO Motor Single Side Shaft</t>
  </si>
  <si>
    <t>Wheels</t>
  </si>
  <si>
    <t>Caster wheel ball</t>
  </si>
  <si>
    <t>MDF board</t>
  </si>
  <si>
    <t>L298N Based Motor Driver Module – 2A</t>
  </si>
  <si>
    <t>Ultrasonic Distance Sensor HC-SR04 Module</t>
  </si>
  <si>
    <t>GY-53 VL53L0X Laser ToF Flight Time Ranging Sensor Module</t>
  </si>
  <si>
    <t>Jumper cables</t>
  </si>
  <si>
    <t>Vibration sensor module alarm Motion sensor module vibration switch SW-420</t>
  </si>
  <si>
    <t>lithium_ion_11.1v_1000mah_battery</t>
  </si>
  <si>
    <t>battery holder</t>
  </si>
  <si>
    <t>Battery charger</t>
  </si>
  <si>
    <t>Bergmann tornado vaccum motor (12V ,60W)</t>
  </si>
  <si>
    <t>Brush</t>
  </si>
  <si>
    <t>Breadboard</t>
  </si>
  <si>
    <t>ESP32 S3-Cam AI Vision Module</t>
  </si>
  <si>
    <t>Grand Total (in INR)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</si>
</sst>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4" max="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50.0</v>
      </c>
      <c r="C2" s="2">
        <v>2.0</v>
      </c>
      <c r="D2" s="3">
        <f t="shared" ref="D2:D16" si="1">MULTIPLY(B2,C2)</f>
        <v>100</v>
      </c>
    </row>
    <row r="3">
      <c r="A3" s="2" t="s">
        <v>5</v>
      </c>
      <c r="B3" s="2">
        <v>25.0</v>
      </c>
      <c r="C3" s="2">
        <v>2.0</v>
      </c>
      <c r="D3" s="3">
        <f t="shared" si="1"/>
        <v>50</v>
      </c>
    </row>
    <row r="4">
      <c r="A4" s="2" t="s">
        <v>6</v>
      </c>
      <c r="B4" s="2">
        <v>20.0</v>
      </c>
      <c r="C4" s="2">
        <v>1.0</v>
      </c>
      <c r="D4" s="3">
        <f t="shared" si="1"/>
        <v>20</v>
      </c>
    </row>
    <row r="5">
      <c r="A5" s="2" t="s">
        <v>7</v>
      </c>
      <c r="B5" s="2">
        <v>250.0</v>
      </c>
      <c r="C5" s="2">
        <v>1.0</v>
      </c>
      <c r="D5" s="3">
        <f t="shared" si="1"/>
        <v>250</v>
      </c>
    </row>
    <row r="6">
      <c r="A6" s="2" t="s">
        <v>8</v>
      </c>
      <c r="B6" s="2">
        <v>150.0</v>
      </c>
      <c r="C6" s="2">
        <v>1.0</v>
      </c>
      <c r="D6" s="3">
        <f t="shared" si="1"/>
        <v>150</v>
      </c>
    </row>
    <row r="7">
      <c r="A7" s="2" t="s">
        <v>9</v>
      </c>
      <c r="B7" s="2">
        <v>50.0</v>
      </c>
      <c r="C7" s="2">
        <v>1.0</v>
      </c>
      <c r="D7" s="3">
        <f t="shared" si="1"/>
        <v>50</v>
      </c>
    </row>
    <row r="8">
      <c r="A8" s="2" t="s">
        <v>10</v>
      </c>
      <c r="B8" s="2">
        <v>180.0</v>
      </c>
      <c r="C8" s="2">
        <v>1.0</v>
      </c>
      <c r="D8" s="3">
        <f t="shared" si="1"/>
        <v>180</v>
      </c>
    </row>
    <row r="9">
      <c r="A9" s="2" t="s">
        <v>11</v>
      </c>
      <c r="B9" s="2">
        <v>48.0</v>
      </c>
      <c r="C9" s="2">
        <v>1.0</v>
      </c>
      <c r="D9" s="3">
        <f t="shared" si="1"/>
        <v>48</v>
      </c>
    </row>
    <row r="10">
      <c r="A10" s="2" t="s">
        <v>12</v>
      </c>
      <c r="B10" s="2">
        <v>40.0</v>
      </c>
      <c r="C10" s="2">
        <v>1.0</v>
      </c>
      <c r="D10" s="3">
        <f t="shared" si="1"/>
        <v>40</v>
      </c>
    </row>
    <row r="11">
      <c r="A11" s="2" t="s">
        <v>13</v>
      </c>
      <c r="B11" s="2">
        <v>100.0</v>
      </c>
      <c r="C11" s="2">
        <v>8.0</v>
      </c>
      <c r="D11" s="3">
        <f t="shared" si="1"/>
        <v>800</v>
      </c>
    </row>
    <row r="12">
      <c r="A12" s="2" t="s">
        <v>14</v>
      </c>
      <c r="B12" s="2">
        <v>25.0</v>
      </c>
      <c r="C12" s="2">
        <v>4.0</v>
      </c>
      <c r="D12" s="3">
        <f t="shared" si="1"/>
        <v>100</v>
      </c>
    </row>
    <row r="13">
      <c r="A13" s="2" t="s">
        <v>15</v>
      </c>
      <c r="B13" s="2">
        <v>18.0</v>
      </c>
      <c r="C13" s="2">
        <v>2.0</v>
      </c>
      <c r="D13" s="3">
        <f t="shared" si="1"/>
        <v>36</v>
      </c>
    </row>
    <row r="14">
      <c r="A14" s="2" t="s">
        <v>16</v>
      </c>
      <c r="B14" s="2">
        <v>500.0</v>
      </c>
      <c r="C14" s="2">
        <v>1.0</v>
      </c>
      <c r="D14" s="3">
        <f t="shared" si="1"/>
        <v>500</v>
      </c>
    </row>
    <row r="15">
      <c r="A15" s="2" t="s">
        <v>17</v>
      </c>
      <c r="B15" s="2">
        <v>60.0</v>
      </c>
      <c r="C15" s="2">
        <v>1.0</v>
      </c>
      <c r="D15" s="3">
        <f t="shared" si="1"/>
        <v>60</v>
      </c>
    </row>
    <row r="16">
      <c r="A16" s="2" t="s">
        <v>18</v>
      </c>
      <c r="B16" s="2">
        <v>50.0</v>
      </c>
      <c r="C16" s="2">
        <v>1.0</v>
      </c>
      <c r="D16" s="3">
        <f t="shared" si="1"/>
        <v>50</v>
      </c>
    </row>
    <row r="17">
      <c r="A17" s="2" t="s">
        <v>19</v>
      </c>
      <c r="D17" s="2">
        <v>1700.0</v>
      </c>
    </row>
    <row r="18">
      <c r="D18" s="3">
        <f t="shared" ref="D18:D19" si="2">MULTIPLY(B18,C18)</f>
        <v>0</v>
      </c>
    </row>
    <row r="19">
      <c r="D19" s="3">
        <f t="shared" si="2"/>
        <v>0</v>
      </c>
    </row>
    <row r="20">
      <c r="A20" s="1" t="s">
        <v>20</v>
      </c>
      <c r="D20" s="3">
        <f>SUM(D2:D19)</f>
        <v>4134</v>
      </c>
    </row>
  </sheetData>
  <drawing r:id="rId1"/>
</worksheet>
</file>